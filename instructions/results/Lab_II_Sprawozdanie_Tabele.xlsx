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&amp; Summary" sheetId="1" r:id="rId4"/>
    <sheet state="visible" name="Lab Data Tables" sheetId="2" r:id="rId5"/>
  </sheets>
  <definedNames/>
  <calcPr/>
  <extLst>
    <ext uri="GoogleSheetsCustomDataVersion2">
      <go:sheetsCustomData xmlns:go="http://customooxmlschemas.google.com/" r:id="rId6" roundtripDataChecksum="RdXGNHEZQPBDAvGHmJIpS54AxlC0vDZSM/JBitfI0U4="/>
    </ext>
  </extLst>
</workbook>
</file>

<file path=xl/sharedStrings.xml><?xml version="1.0" encoding="utf-8"?>
<sst xmlns="http://schemas.openxmlformats.org/spreadsheetml/2006/main" count="116" uniqueCount="102">
  <si>
    <t>MTM - Podstawy projektowania analogowych układów VLSI</t>
  </si>
  <si>
    <t>Laboratorium 2: 5-bitowy DAC i rozrzuty w układach elektronicznych</t>
  </si>
  <si>
    <t>Imię:</t>
  </si>
  <si>
    <t>[ Imię ]</t>
  </si>
  <si>
    <t>Nazwisko:</t>
  </si>
  <si>
    <t>[ Nazwisko ]</t>
  </si>
  <si>
    <t>Data:</t>
  </si>
  <si>
    <t>[ Data ]</t>
  </si>
  <si>
    <t>Spis Sekcji w Arkuszu Data:</t>
  </si>
  <si>
    <t>Sekcja</t>
  </si>
  <si>
    <t>Opis Zawartości</t>
  </si>
  <si>
    <t>Sekcja 1.2 / 1.8</t>
  </si>
  <si>
    <t>Tabela 1.2 / 1.8</t>
  </si>
  <si>
    <t>Pomiary I_DAC, VGS, VTH dla różnych wymiarów tranzystorów W/L</t>
  </si>
  <si>
    <t>Tabela 1.10 / 1.11</t>
  </si>
  <si>
    <t>Rozrzuty Mismatch oraz Process i Mismatch dla MO i MREF</t>
  </si>
  <si>
    <t>Tabela 2.3</t>
  </si>
  <si>
    <t>Napięcie wyjściowe V0 [V] w funkcji dac_bit [n]</t>
  </si>
  <si>
    <t>Tabela 2.5</t>
  </si>
  <si>
    <t>W/L
[μm/μm]</t>
  </si>
  <si>
    <t>Odchylenie standardowe σ [μA] i σ/AVG [%] dla bitów DAC</t>
  </si>
  <si>
    <t>Tabela 3.14</t>
  </si>
  <si>
    <t>0.42/0.15</t>
  </si>
  <si>
    <t>Porównanie wartości I_DAC [µA] dla ekstakcji Layoutu i Schematu</t>
  </si>
  <si>
    <t>5/3.5</t>
  </si>
  <si>
    <t>3.5/5</t>
  </si>
  <si>
    <t>I_DAC [µA]</t>
  </si>
  <si>
    <t>0.1</t>
  </si>
  <si>
    <t>10</t>
  </si>
  <si>
    <t>VGS [V]</t>
  </si>
  <si>
    <t>0.603796</t>
  </si>
  <si>
    <t>1.04027</t>
  </si>
  <si>
    <t>1.00082</t>
  </si>
  <si>
    <t>1.48152</t>
  </si>
  <si>
    <t>1.03572</t>
  </si>
  <si>
    <t>1.68497</t>
  </si>
  <si>
    <t>VTH [V]</t>
  </si>
  <si>
    <t>0.697865</t>
  </si>
  <si>
    <t>0.688411</t>
  </si>
  <si>
    <t>1.04294</t>
  </si>
  <si>
    <t>1.04317</t>
  </si>
  <si>
    <t>1.03623</t>
  </si>
  <si>
    <t>1.03657</t>
  </si>
  <si>
    <t>PRACA W OBSZARZE PODPROGOWYM?</t>
  </si>
  <si>
    <t>TAK</t>
  </si>
  <si>
    <t>NIE</t>
  </si>
  <si>
    <t>σ [μΑ]</t>
  </si>
  <si>
    <t>0.036183</t>
  </si>
  <si>
    <t>0.823332</t>
  </si>
  <si>
    <t>0.00240312</t>
  </si>
  <si>
    <t>0.0716895</t>
  </si>
  <si>
    <t>0.00256819</t>
  </si>
  <si>
    <t>0.043852</t>
  </si>
  <si>
    <t>AVG [μΑ]</t>
  </si>
  <si>
    <t>0.108069</t>
  </si>
  <si>
    <t>0.100225</t>
  </si>
  <si>
    <t>0.0999304</t>
  </si>
  <si>
    <t>9.99655</t>
  </si>
  <si>
    <t>σ/AVG [%]</t>
  </si>
  <si>
    <t>33.4814</t>
  </si>
  <si>
    <t>8.22865</t>
  </si>
  <si>
    <t>2.39772</t>
  </si>
  <si>
    <t>0.717125</t>
  </si>
  <si>
    <t>2.56998</t>
  </si>
  <si>
    <t>0.438671</t>
  </si>
  <si>
    <t>Sekcja 1.10 / 1.11</t>
  </si>
  <si>
    <t>W/L [μm/μm]</t>
  </si>
  <si>
    <t>σ/AVG [%] Mismatch</t>
  </si>
  <si>
    <t>σ/AVG [%] Process i Mismatch</t>
  </si>
  <si>
    <t>MO</t>
  </si>
  <si>
    <t>0.468189</t>
  </si>
  <si>
    <t>0.524785</t>
  </si>
  <si>
    <t>MREF</t>
  </si>
  <si>
    <t>0.448508</t>
  </si>
  <si>
    <t>0.565694</t>
  </si>
  <si>
    <t>M0 i MREF</t>
  </si>
  <si>
    <t>0.676549</t>
  </si>
  <si>
    <t>0.724133</t>
  </si>
  <si>
    <t>Sekcja 2.3</t>
  </si>
  <si>
    <t>dac_bit [n]</t>
  </si>
  <si>
    <t>V0 [V]</t>
  </si>
  <si>
    <t>Sekcja 2.5</t>
  </si>
  <si>
    <t>0.0431314</t>
  </si>
  <si>
    <t>0.435288</t>
  </si>
  <si>
    <t>0.0607149</t>
  </si>
  <si>
    <t>0.306502</t>
  </si>
  <si>
    <t>0.0873551</t>
  </si>
  <si>
    <t>0.220503</t>
  </si>
  <si>
    <t>0.123896</t>
  </si>
  <si>
    <t>0.15639</t>
  </si>
  <si>
    <t>0.181487</t>
  </si>
  <si>
    <t>0.114538</t>
  </si>
  <si>
    <t>0.262648</t>
  </si>
  <si>
    <t>0.0855596</t>
  </si>
  <si>
    <t>Sekcja 3.14</t>
  </si>
  <si>
    <t>I_DAC [µA] Layout</t>
  </si>
  <si>
    <t>I_DAC [µA] Schemat</t>
  </si>
  <si>
    <t>9.90443</t>
  </si>
  <si>
    <t>184.02</t>
  </si>
  <si>
    <t>158.455</t>
  </si>
  <si>
    <t>358.866</t>
  </si>
  <si>
    <t>306.99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</si>
</sst>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yyyy"/>
    <numFmt numFmtId="165" formatCode="m.d"/>
  </numFmts>
  <fonts count="10">
    <font>
      <sz val="11.0"/>
      <color theme="1"/>
      <name val="Calibri"/>
      <scheme val="minor"/>
    </font>
    <font>
      <b/>
      <sz val="16.0"/>
      <color rgb="FF1F4E79"/>
      <name val="Calibri"/>
    </font>
    <font>
      <color theme="1"/>
      <name val="Calibri"/>
      <scheme val="minor"/>
    </font>
    <font>
      <i/>
      <sz val="11.0"/>
      <color rgb="FF595959"/>
      <name val="Calibri"/>
    </font>
    <font>
      <b/>
      <sz val="10.0"/>
      <color theme="1"/>
      <name val="Calibri"/>
    </font>
    <font>
      <i/>
      <sz val="10.0"/>
      <color rgb="FF7F7F7F"/>
      <name val="Calibri"/>
    </font>
    <font>
      <b/>
      <sz val="13.0"/>
      <color rgb="FF1F4E79"/>
      <name val="Calibri"/>
    </font>
    <font>
      <b/>
      <sz val="11.0"/>
      <color rgb="FFFFFFFF"/>
      <name val="Calibri"/>
    </font>
    <font>
      <sz val="10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left" vertical="center"/>
    </xf>
    <xf borderId="0" fillId="0" fontId="6" numFmtId="0" xfId="0" applyAlignment="1" applyFont="1">
      <alignment shrinkToFit="0" wrapText="1"/>
    </xf>
    <xf borderId="2" fillId="3" fontId="4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8" numFmtId="0" xfId="0" applyAlignment="1" applyBorder="1" applyFill="1" applyFont="1">
      <alignment horizontal="left" vertical="center"/>
    </xf>
    <xf borderId="3" fillId="2" fontId="7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vertical="center"/>
    </xf>
    <xf borderId="2" fillId="3" fontId="8" numFmtId="0" xfId="0" applyAlignment="1" applyBorder="1" applyFill="1" applyFont="1">
      <alignment horizontal="left" readingOrder="0" vertical="center"/>
    </xf>
    <xf borderId="4" fillId="2" fontId="7" numFmtId="0" xfId="0" applyAlignment="1" applyBorder="1" applyFill="1" applyFont="1">
      <alignment horizontal="center"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7" fillId="0" fontId="9" numFmtId="0" xfId="0" applyBorder="1" applyFont="1"/>
    <xf borderId="8" fillId="2" fontId="7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left" shrinkToFit="0" vertical="center" wrapText="1"/>
    </xf>
    <xf borderId="8" fillId="4" fontId="8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left" shrinkToFit="0" vertical="center" wrapText="1"/>
    </xf>
    <xf borderId="8" fillId="3" fontId="8" numFmtId="0" xfId="0" applyAlignment="1" applyBorder="1" applyFill="1" applyFont="1">
      <alignment horizontal="center" readingOrder="0" shrinkToFit="0" vertical="center" wrapText="1"/>
    </xf>
    <xf borderId="8" fillId="4" fontId="4" numFmtId="0" xfId="0" applyAlignment="1" applyBorder="1" applyFill="1" applyFont="1">
      <alignment horizontal="left" readingOrder="0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164" xfId="0" applyAlignment="1" applyBorder="1" applyFont="1" applyNumberFormat="1">
      <alignment horizontal="center" readingOrder="0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8" fillId="3" fontId="8" numFmtId="165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8" fillId="4" fontId="4" numFmtId="0" xfId="0" applyAlignment="1" applyBorder="1" applyFill="1" applyFont="1">
      <alignment horizontal="center" readingOrder="0" shrinkToFit="0" vertical="center" wrapText="1"/>
    </xf>
    <xf borderId="8" fillId="4" fontId="8" numFmtId="164" xfId="0" applyAlignment="1" applyBorder="1" applyFill="1" applyFont="1" applyNumberForma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0"/>
    <col customWidth="1" min="2" max="2" width="65.0"/>
    <col customWidth="1" min="3" max="26" width="8.71"/>
  </cols>
  <sheetData>
    <row r="1">
      <c r="A1" s="1" t="s">
        <v>0</v>
      </c>
    </row>
    <row r="2">
      <c r="A2" s="3" t="s">
        <v>1</v>
      </c>
    </row>
    <row r="4">
      <c r="A4" s="4" t="s">
        <v>2</v>
      </c>
      <c r="B4" s="5" t="s">
        <v>3</v>
      </c>
    </row>
    <row r="5">
      <c r="A5" s="4" t="s">
        <v>4</v>
      </c>
      <c r="B5" s="5" t="s">
        <v>5</v>
      </c>
    </row>
    <row r="6">
      <c r="A6" s="4" t="s">
        <v>6</v>
      </c>
      <c r="B6" s="5" t="s">
        <v>7</v>
      </c>
    </row>
    <row r="9">
      <c r="A9" s="6" t="s">
        <v>8</v>
      </c>
    </row>
    <row r="10">
      <c r="A10" s="7" t="s">
        <v>9</v>
      </c>
      <c r="B10" s="8" t="s">
        <v>10</v>
      </c>
    </row>
    <row r="11">
      <c r="A11" s="10" t="s">
        <v>12</v>
      </c>
      <c r="B11" s="11" t="s">
        <v>13</v>
      </c>
    </row>
    <row r="12">
      <c r="A12" s="12" t="s">
        <v>14</v>
      </c>
      <c r="B12" s="13" t="s">
        <v>15</v>
      </c>
    </row>
    <row r="13">
      <c r="A13" s="10" t="s">
        <v>16</v>
      </c>
      <c r="B13" s="11" t="s">
        <v>17</v>
      </c>
    </row>
    <row r="14">
      <c r="A14" s="12" t="s">
        <v>18</v>
      </c>
      <c r="B14" s="13" t="s">
        <v>20</v>
      </c>
    </row>
    <row r="15">
      <c r="A15" s="15" t="s">
        <v>21</v>
      </c>
      <c r="B15" s="16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7" width="14.86"/>
    <col customWidth="1" min="8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 t="s">
        <v>19</v>
      </c>
      <c r="B3" s="17" t="s">
        <v>22</v>
      </c>
      <c r="C3" s="18"/>
      <c r="D3" s="17" t="s">
        <v>24</v>
      </c>
      <c r="E3" s="18"/>
      <c r="F3" s="17" t="s">
        <v>25</v>
      </c>
      <c r="G3" s="1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/>
      <c r="B4" s="20" t="s">
        <v>26</v>
      </c>
      <c r="C4" s="18"/>
      <c r="D4" s="20" t="s">
        <v>26</v>
      </c>
      <c r="E4" s="18"/>
      <c r="F4" s="20" t="s">
        <v>26</v>
      </c>
      <c r="G4" s="1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1"/>
      <c r="B5" s="22" t="s">
        <v>27</v>
      </c>
      <c r="C5" s="22" t="s">
        <v>28</v>
      </c>
      <c r="D5" s="22" t="s">
        <v>27</v>
      </c>
      <c r="E5" s="22" t="s">
        <v>28</v>
      </c>
      <c r="F5" s="22" t="s">
        <v>27</v>
      </c>
      <c r="G5" s="22" t="s">
        <v>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3" t="s">
        <v>29</v>
      </c>
      <c r="B6" s="24" t="s">
        <v>30</v>
      </c>
      <c r="C6" s="24" t="s">
        <v>31</v>
      </c>
      <c r="D6" s="24" t="s">
        <v>32</v>
      </c>
      <c r="E6" s="24" t="s">
        <v>33</v>
      </c>
      <c r="F6" s="24" t="s">
        <v>34</v>
      </c>
      <c r="G6" s="24" t="s">
        <v>35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" t="s">
        <v>36</v>
      </c>
      <c r="B7" s="26" t="s">
        <v>37</v>
      </c>
      <c r="C7" s="26" t="s">
        <v>38</v>
      </c>
      <c r="D7" s="26" t="s">
        <v>39</v>
      </c>
      <c r="E7" s="26" t="s">
        <v>40</v>
      </c>
      <c r="F7" s="26" t="s">
        <v>41</v>
      </c>
      <c r="G7" s="26" t="s">
        <v>42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7" t="s">
        <v>43</v>
      </c>
      <c r="B8" s="24" t="s">
        <v>44</v>
      </c>
      <c r="C8" s="24" t="s">
        <v>45</v>
      </c>
      <c r="D8" s="24" t="s">
        <v>44</v>
      </c>
      <c r="E8" s="24" t="s">
        <v>45</v>
      </c>
      <c r="F8" s="24" t="s">
        <v>44</v>
      </c>
      <c r="G8" s="24" t="s">
        <v>45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5" t="s">
        <v>46</v>
      </c>
      <c r="B9" s="26" t="s">
        <v>47</v>
      </c>
      <c r="C9" s="26" t="s">
        <v>48</v>
      </c>
      <c r="D9" s="26" t="s">
        <v>49</v>
      </c>
      <c r="E9" s="26" t="s">
        <v>50</v>
      </c>
      <c r="F9" s="26" t="s">
        <v>51</v>
      </c>
      <c r="G9" s="26" t="s">
        <v>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8" t="s">
        <v>53</v>
      </c>
      <c r="B10" s="29" t="s">
        <v>54</v>
      </c>
      <c r="C10" s="30">
        <v>21094.0</v>
      </c>
      <c r="D10" s="29" t="s">
        <v>55</v>
      </c>
      <c r="E10" s="30">
        <v>2947022.0</v>
      </c>
      <c r="F10" s="29" t="s">
        <v>56</v>
      </c>
      <c r="G10" s="29" t="s">
        <v>57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5" t="s">
        <v>58</v>
      </c>
      <c r="B11" s="26" t="s">
        <v>59</v>
      </c>
      <c r="C11" s="26" t="s">
        <v>60</v>
      </c>
      <c r="D11" s="26" t="s">
        <v>61</v>
      </c>
      <c r="E11" s="26" t="s">
        <v>62</v>
      </c>
      <c r="F11" s="26" t="s">
        <v>63</v>
      </c>
      <c r="G11" s="26" t="s">
        <v>64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65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 t="s">
        <v>66</v>
      </c>
      <c r="B15" s="22" t="s">
        <v>67</v>
      </c>
      <c r="C15" s="22" t="s">
        <v>68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1" t="s">
        <v>69</v>
      </c>
      <c r="B16" s="24" t="s">
        <v>70</v>
      </c>
      <c r="C16" s="24" t="s">
        <v>71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2" t="s">
        <v>72</v>
      </c>
      <c r="B17" s="26" t="s">
        <v>73</v>
      </c>
      <c r="C17" s="26" t="s">
        <v>74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" t="s">
        <v>75</v>
      </c>
      <c r="B18" s="24" t="s">
        <v>76</v>
      </c>
      <c r="C18" s="24" t="s">
        <v>77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78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2" t="s">
        <v>79</v>
      </c>
      <c r="B22" s="22" t="s">
        <v>80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1">
        <v>0.0</v>
      </c>
      <c r="B23" s="24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2">
        <v>1.0</v>
      </c>
      <c r="B24" s="33">
        <v>46030.0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1">
        <v>2.0</v>
      </c>
      <c r="B25" s="24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2">
        <v>3.0</v>
      </c>
      <c r="B26" s="33">
        <v>46030.0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1">
        <v>4.0</v>
      </c>
      <c r="B27" s="24">
        <v>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2">
        <v>5.0</v>
      </c>
      <c r="B28" s="33">
        <v>46030.0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 t="s">
        <v>81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2" t="s">
        <v>79</v>
      </c>
      <c r="B32" s="22" t="s">
        <v>46</v>
      </c>
      <c r="C32" s="22" t="s">
        <v>58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1">
        <v>1.0</v>
      </c>
      <c r="B33" s="24" t="s">
        <v>82</v>
      </c>
      <c r="C33" s="24" t="s">
        <v>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2">
        <v>2.0</v>
      </c>
      <c r="B34" s="26" t="s">
        <v>84</v>
      </c>
      <c r="C34" s="26" t="s">
        <v>85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1">
        <v>4.0</v>
      </c>
      <c r="B35" s="24" t="s">
        <v>86</v>
      </c>
      <c r="C35" s="24" t="s">
        <v>87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2">
        <v>8.0</v>
      </c>
      <c r="B36" s="26" t="s">
        <v>88</v>
      </c>
      <c r="C36" s="26" t="s">
        <v>89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1">
        <v>16.0</v>
      </c>
      <c r="B37" s="24" t="s">
        <v>90</v>
      </c>
      <c r="C37" s="24" t="s">
        <v>91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2">
        <v>31.0</v>
      </c>
      <c r="B38" s="26" t="s">
        <v>92</v>
      </c>
      <c r="C38" s="26" t="s">
        <v>93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4" t="s">
        <v>94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2" t="s">
        <v>79</v>
      </c>
      <c r="B42" s="22" t="s">
        <v>95</v>
      </c>
      <c r="C42" s="22" t="s">
        <v>96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5">
        <v>1.0</v>
      </c>
      <c r="B43" s="36">
        <v>1076311.0</v>
      </c>
      <c r="C43" s="24" t="s">
        <v>97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>
        <v>16.0</v>
      </c>
      <c r="B44" s="26" t="s">
        <v>98</v>
      </c>
      <c r="C44" s="26" t="s">
        <v>99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5">
        <v>31.0</v>
      </c>
      <c r="B45" s="24" t="s">
        <v>100</v>
      </c>
      <c r="C45" s="24" t="s">
        <v>101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7">
    <mergeCell ref="A3:A5"/>
    <mergeCell ref="B3:C3"/>
    <mergeCell ref="D3:E3"/>
    <mergeCell ref="F3:G3"/>
    <mergeCell ref="B4:C4"/>
    <mergeCell ref="D4:E4"/>
    <mergeCell ref="F4:G4"/>
  </mergeCells>
  <dataValidations>
    <dataValidation type="list" allowBlank="1" showErrorMessage="1" sqref="B8:G8">
      <formula1>"NIE,TAK"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2026-08-27T09:27:00Z</dcterms:created>
  <dc:creator>openpyxl</dc:creator>
</cp:coreProperties>
</file>